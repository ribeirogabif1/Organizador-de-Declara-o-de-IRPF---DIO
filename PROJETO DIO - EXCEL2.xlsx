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d.docs.live.net/4a00759ba37aeb1a/Documentos/SANTANDER - DIO PROJETOS/"/>
    </mc:Choice>
  </mc:AlternateContent>
  <xr:revisionPtr revIDLastSave="3" documentId="13_ncr:1_{E834E1FF-7DD3-40FA-8BD4-982F60AB3BBB}" xr6:coauthVersionLast="47" xr6:coauthVersionMax="47" xr10:uidLastSave="{B26BB24A-C233-4E91-828B-C29DF2F1FA5E}"/>
  <workbookProtection workbookAlgorithmName="SHA-512" workbookHashValue="OF3fq1p6fd1chYaS9NsV+77gOsqCCXvWKgmXPVxShS5Yqw5Zs2/+okH06ZviniFJ5CPryJPVTtzM+PnZJO6z6Q==" workbookSaltValue="5AqjaFPz/Ez7Fs3zowahZQ==" workbookSpinCount="100000" lockStructure="1"/>
  <bookViews>
    <workbookView xWindow="20370" yWindow="-120" windowWidth="29040" windowHeight="15840" xr2:uid="{998F170A-FB00-49FA-8DEA-3BD99551B5EF}"/>
  </bookViews>
  <sheets>
    <sheet name="TITULAR" sheetId="1" r:id="rId1"/>
    <sheet name="INFORME" sheetId="6" r:id="rId2"/>
    <sheet name="NOTAS" sheetId="7" r:id="rId3"/>
    <sheet name="TABELAS" sheetId="8" state="hidden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5" i="7" l="1"/>
  <c r="E19" i="7"/>
  <c r="C7" i="6"/>
</calcChain>
</file>

<file path=xl/sharedStrings.xml><?xml version="1.0" encoding="utf-8"?>
<sst xmlns="http://schemas.openxmlformats.org/spreadsheetml/2006/main" count="135" uniqueCount="98">
  <si>
    <t>1. DADOS DO TITULAR</t>
  </si>
  <si>
    <t>GABRIELA RIBEIRO</t>
  </si>
  <si>
    <t>Rua da Paixão, 20</t>
  </si>
  <si>
    <t>gabriela@gmail.com</t>
  </si>
  <si>
    <t>Não</t>
  </si>
  <si>
    <t>Solteiro</t>
  </si>
  <si>
    <t xml:space="preserve">preencha os dados da sua pessoa física </t>
  </si>
  <si>
    <t>NOME:</t>
  </si>
  <si>
    <t>CPF:</t>
  </si>
  <si>
    <t>DATA DE NASCIMENTO:</t>
  </si>
  <si>
    <t>TÍTULO DE ELEITOR:</t>
  </si>
  <si>
    <t>ESTADO CÍVIL:</t>
  </si>
  <si>
    <t>RUA:</t>
  </si>
  <si>
    <t>RUA ABREVIADA:</t>
  </si>
  <si>
    <t>CEP:</t>
  </si>
  <si>
    <t>TELEFONE:</t>
  </si>
  <si>
    <t>CELULAR:</t>
  </si>
  <si>
    <t>EMAIL:</t>
  </si>
  <si>
    <t>HOUVE ALTERAÇÕES DA ENTREGA ANTERIORMENTE:</t>
  </si>
  <si>
    <t>DEPENDENTE CÔNJUGE:</t>
  </si>
  <si>
    <t>RESIDENTE DO EXTERIOR:</t>
  </si>
  <si>
    <t>2. INFORMES DE RENDIMENTOS BANCÁRIOS</t>
  </si>
  <si>
    <t>Preencha com seus dados atuais de cada banco</t>
  </si>
  <si>
    <t>BANCO:</t>
  </si>
  <si>
    <t>VALOR ATUAL:</t>
  </si>
  <si>
    <t>ANEXO 🔗: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</si>
  <si>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</si>
  <si>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</si>
  <si>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</si>
  <si>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</si>
  <si>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</si>
  <si>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</si>
  <si>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</si>
  <si>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</si>
  <si>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</si>
  <si>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</si>
  <si>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</si>
  <si>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</si>
  <si>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</si>
  <si>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</si>
  <si>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</si>
  <si>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</si>
  <si>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</si>
  <si>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</si>
  <si>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</si>
  <si>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</si>
  <si>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</si>
  <si>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</si>
  <si>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</si>
  <si>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</si>
  <si>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</si>
  <si>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</si>
  <si>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</si>
  <si>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</si>
  <si>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</si>
  <si>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</si>
  <si>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</si>
  <si>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</si>
  <si>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</si>
  <si>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</si>
  <si>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</si>
  <si>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</si>
  <si>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</si>
  <si>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</si>
  <si>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</si>
  <si>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</si>
  <si>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</si>
  <si>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</si>
  <si>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</si>
  <si>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</si>
  <si>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</si>
  <si>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</si>
  <si>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</si>
  <si>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</si>
  <si>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</si>
  <si>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</si>
  <si>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</si>
  <si>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1ª Banco:</t>
  </si>
  <si>
    <t>2ª Banco:</t>
  </si>
  <si>
    <t>3ª Banco:</t>
  </si>
  <si>
    <t>TOTAL</t>
  </si>
  <si>
    <t>neon_relatorio2025.pdf</t>
  </si>
  <si>
    <t>simples_relatorio2025.pdf</t>
  </si>
  <si>
    <t>original_relatorio2025.pdf</t>
  </si>
  <si>
    <t>ENTRADAS</t>
  </si>
  <si>
    <t>DATA</t>
  </si>
  <si>
    <t>VALOR</t>
  </si>
  <si>
    <t>CATEGORIA</t>
  </si>
  <si>
    <t>FREELANCE</t>
  </si>
  <si>
    <t>HOLERITE</t>
  </si>
  <si>
    <t>CNPJ</t>
  </si>
  <si>
    <t>DESPESAS</t>
  </si>
  <si>
    <t>SAÚDE</t>
  </si>
  <si>
    <t>EDUCAÇÃO</t>
  </si>
  <si>
    <t>DEPENDENTES</t>
  </si>
  <si>
    <t>DOAÇÃO</t>
  </si>
  <si>
    <r>
      <t xml:space="preserve">SYSTEM BY GABIS </t>
    </r>
    <r>
      <rPr>
        <sz val="11"/>
        <color rgb="FF9D58D0"/>
        <rFont val="Aptos Narrow"/>
        <family val="2"/>
      </rPr>
      <t>©</t>
    </r>
  </si>
  <si>
    <t>SYSTEM BY GABIS 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</si>
</sst>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&quot;.&quot;000&quot;.&quot;000&quot;-&quot;00"/>
    <numFmt numFmtId="165" formatCode="00000\-000"/>
    <numFmt numFmtId="166" formatCode="&quot;(&quot;00&quot;) &quot;0000&quot;-&quot;0000"/>
    <numFmt numFmtId="167" formatCode="&quot;R$&quot;\ #,##0.00"/>
    <numFmt numFmtId="168" formatCode="mm/yyyy"/>
  </numFmts>
  <fonts count="11" x14ac:knownFonts="1">
    <font>
      <sz val="11"/>
      <color theme="1"/>
      <name val="Calibri"/>
      <family val="2"/>
      <scheme val="minor"/>
    </font>
    <font>
      <b/>
      <sz val="18"/>
      <color rgb="FF9D58D0"/>
      <name val="Aptos Narrow"/>
      <family val="2"/>
    </font>
    <font>
      <sz val="11"/>
      <color theme="1"/>
      <name val="Aptos Narrow"/>
      <family val="2"/>
    </font>
    <font>
      <b/>
      <i/>
      <sz val="11"/>
      <color theme="0"/>
      <name val="Aptos Narrow"/>
      <family val="2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1"/>
      <name val="Aptos Narrow"/>
      <family val="2"/>
    </font>
    <font>
      <b/>
      <sz val="11"/>
      <color theme="0"/>
      <name val="Aptos Narrow"/>
      <family val="2"/>
    </font>
    <font>
      <b/>
      <sz val="12"/>
      <color theme="0"/>
      <name val="Aptos Narrow"/>
      <family val="2"/>
    </font>
    <font>
      <sz val="11"/>
      <color rgb="FF9D58D0"/>
      <name val="Aptos Narrow"/>
      <family val="2"/>
    </font>
    <font>
      <b/>
      <sz val="11"/>
      <color theme="0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9D58D0"/>
        <bgColor indexed="64"/>
      </patternFill>
    </fill>
    <fill>
      <patternFill patternType="solid">
        <fgColor theme="1" tint="0.249977111117893"/>
        <bgColor indexed="64"/>
      </patternFill>
    </fill>
  </fills>
  <borders count="9">
    <border>
      <left/>
      <right/>
      <top/>
      <bottom/>
      <diagonal/>
    </border>
    <border>
      <left style="thin">
        <color rgb="FFCC99FF"/>
      </left>
      <right style="thin">
        <color rgb="FFCC99FF"/>
      </right>
      <top style="thin">
        <color rgb="FFCC99FF"/>
      </top>
      <bottom style="thin">
        <color rgb="FFCC99FF"/>
      </bottom>
      <diagonal/>
    </border>
    <border>
      <left/>
      <right/>
      <top style="thick">
        <color rgb="FF7030A0"/>
      </top>
      <bottom/>
      <diagonal/>
    </border>
    <border>
      <left style="thin">
        <color rgb="FFCC99FF"/>
      </left>
      <right/>
      <top style="thin">
        <color rgb="FFCC99FF"/>
      </top>
      <bottom style="thin">
        <color rgb="FFCC99FF"/>
      </bottom>
      <diagonal/>
    </border>
    <border>
      <left/>
      <right style="thin">
        <color rgb="FFCC99FF"/>
      </right>
      <top style="thin">
        <color rgb="FFCC99FF"/>
      </top>
      <bottom style="thin">
        <color rgb="FFCC99F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ck">
        <color theme="4" tint="-0.24994659260841701"/>
      </top>
      <bottom style="thick">
        <color theme="4" tint="-0.24994659260841701"/>
      </bottom>
      <diagonal/>
    </border>
    <border>
      <left/>
      <right/>
      <top style="thick">
        <color rgb="FF7030A0"/>
      </top>
      <bottom style="thick">
        <color rgb="FF7030A0"/>
      </bottom>
      <diagonal/>
    </border>
    <border>
      <left/>
      <right/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2" fillId="0" borderId="0" xfId="0" applyFont="1"/>
    <xf numFmtId="0" fontId="2" fillId="3" borderId="1" xfId="0" applyFont="1" applyFill="1" applyBorder="1" applyAlignment="1">
      <alignment horizontal="right"/>
    </xf>
    <xf numFmtId="0" fontId="5" fillId="6" borderId="0" xfId="0" applyFont="1" applyFill="1" applyAlignment="1">
      <alignment horizontal="left"/>
    </xf>
    <xf numFmtId="0" fontId="4" fillId="6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67" fontId="6" fillId="7" borderId="5" xfId="0" applyNumberFormat="1" applyFont="1" applyFill="1" applyBorder="1" applyAlignment="1">
      <alignment horizontal="center"/>
    </xf>
    <xf numFmtId="168" fontId="2" fillId="0" borderId="0" xfId="0" applyNumberFormat="1" applyFont="1"/>
    <xf numFmtId="0" fontId="1" fillId="0" borderId="6" xfId="0" applyFont="1" applyBorder="1"/>
    <xf numFmtId="0" fontId="2" fillId="0" borderId="6" xfId="0" applyFont="1" applyBorder="1"/>
    <xf numFmtId="0" fontId="1" fillId="0" borderId="7" xfId="0" applyFont="1" applyBorder="1"/>
    <xf numFmtId="0" fontId="2" fillId="0" borderId="7" xfId="0" applyFont="1" applyBorder="1"/>
    <xf numFmtId="0" fontId="2" fillId="3" borderId="1" xfId="0" applyFont="1" applyFill="1" applyBorder="1" applyAlignment="1" applyProtection="1">
      <alignment horizontal="right"/>
      <protection locked="0"/>
    </xf>
    <xf numFmtId="164" fontId="2" fillId="3" borderId="1" xfId="0" applyNumberFormat="1" applyFont="1" applyFill="1" applyBorder="1" applyAlignment="1" applyProtection="1">
      <alignment horizontal="right"/>
      <protection locked="0"/>
    </xf>
    <xf numFmtId="14" fontId="2" fillId="3" borderId="1" xfId="0" applyNumberFormat="1" applyFont="1" applyFill="1" applyBorder="1" applyAlignment="1" applyProtection="1">
      <alignment horizontal="right"/>
      <protection locked="0"/>
    </xf>
    <xf numFmtId="165" fontId="2" fillId="3" borderId="1" xfId="0" applyNumberFormat="1" applyFont="1" applyFill="1" applyBorder="1" applyAlignment="1" applyProtection="1">
      <alignment horizontal="right"/>
      <protection locked="0"/>
    </xf>
    <xf numFmtId="166" fontId="2" fillId="3" borderId="1" xfId="0" applyNumberFormat="1" applyFont="1" applyFill="1" applyBorder="1" applyAlignment="1" applyProtection="1">
      <alignment horizontal="right"/>
      <protection locked="0"/>
    </xf>
    <xf numFmtId="167" fontId="2" fillId="3" borderId="1" xfId="0" applyNumberFormat="1" applyFont="1" applyFill="1" applyBorder="1" applyAlignment="1" applyProtection="1">
      <alignment horizontal="right"/>
      <protection locked="0"/>
    </xf>
    <xf numFmtId="0" fontId="2" fillId="0" borderId="0" xfId="0" applyFont="1" applyAlignment="1" applyProtection="1">
      <alignment horizontal="center"/>
      <protection locked="0"/>
    </xf>
    <xf numFmtId="168" fontId="2" fillId="0" borderId="0" xfId="0" applyNumberFormat="1" applyFont="1" applyAlignment="1" applyProtection="1">
      <alignment horizontal="center"/>
      <protection locked="0"/>
    </xf>
    <xf numFmtId="167" fontId="2" fillId="0" borderId="0" xfId="0" applyNumberFormat="1" applyFont="1" applyAlignment="1" applyProtection="1">
      <alignment horizontal="center"/>
      <protection locked="0"/>
    </xf>
    <xf numFmtId="0" fontId="7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167" fontId="6" fillId="3" borderId="3" xfId="0" applyNumberFormat="1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6" fillId="7" borderId="5" xfId="0" applyFont="1" applyFill="1" applyBorder="1" applyAlignment="1">
      <alignment horizontal="center"/>
    </xf>
    <xf numFmtId="0" fontId="8" fillId="8" borderId="0" xfId="0" applyFont="1" applyFill="1" applyAlignment="1">
      <alignment horizontal="center"/>
    </xf>
    <xf numFmtId="0" fontId="1" fillId="0" borderId="8" xfId="0" applyFont="1" applyBorder="1" applyAlignment="1">
      <alignment horizontal="left"/>
    </xf>
    <xf numFmtId="0" fontId="4" fillId="5" borderId="0" xfId="0" applyFont="1" applyFill="1" applyAlignment="1">
      <alignment horizontal="center"/>
    </xf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name val="Aptos Narrow"/>
        <family val="2"/>
        <scheme val="none"/>
      </font>
      <numFmt numFmtId="167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name val="Aptos Narrow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name val="Aptos Narrow"/>
        <family val="2"/>
        <scheme val="none"/>
      </font>
      <numFmt numFmtId="168" formatCode="mm/yyyy"/>
      <protection locked="0" hidden="0"/>
    </dxf>
    <dxf>
      <font>
        <strike val="0"/>
        <outline val="0"/>
        <shadow val="0"/>
        <u val="none"/>
        <vertAlign val="baseline"/>
        <name val="Aptos Narrow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ptos Narrow"/>
        <family val="2"/>
        <scheme val="none"/>
      </font>
      <numFmt numFmtId="167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name val="Aptos Narrow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name val="Aptos Narrow"/>
        <family val="2"/>
        <scheme val="none"/>
      </font>
      <numFmt numFmtId="168" formatCode="mm/yyyy"/>
      <protection locked="0" hidden="0"/>
    </dxf>
    <dxf>
      <font>
        <strike val="0"/>
        <outline val="0"/>
        <shadow val="0"/>
        <u val="none"/>
        <vertAlign val="baseline"/>
        <name val="Aptos Narrow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name val="Aptos Narrow"/>
        <family val="2"/>
        <scheme val="none"/>
      </font>
      <alignment horizontal="center" vertical="bottom" textRotation="0" wrapText="0" indent="0" justifyLastLine="0" shrinkToFit="0" readingOrder="0"/>
      <protection locked="0" hidden="0"/>
    </dxf>
  </dxfs>
  <tableStyles count="0" defaultTableStyle="TableStyleMedium2" defaultPivotStyle="PivotStyleLight16"/>
  <colors>
    <mruColors>
      <color rgb="FFAC32A3"/>
      <color rgb="FF9D58D0"/>
      <color rgb="FF0D0D0D"/>
      <color rgb="FFCC99FF"/>
      <color rgb="FFA40000"/>
      <color rgb="FF260000"/>
      <color rgb="FFF15D5D"/>
      <color rgb="FFF74343"/>
      <color rgb="FFFAC6C6"/>
      <color rgb="FFEE3E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!C1"/><Relationship Id="rId2" Type="http://schemas.openxmlformats.org/officeDocument/2006/relationships/hyperlink" Target="#TITULAR!C1"/><Relationship Id="rId1" Type="http://schemas.openxmlformats.org/officeDocument/2006/relationships/image" Target="../media/image1.jpe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gabriela-ribeiro-33b00b171/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TITULAR!C1"/><Relationship Id="rId1" Type="http://schemas.openxmlformats.org/officeDocument/2006/relationships/image" Target="../media/image1.jpe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gabriela-ribeiro-33b00b171/" TargetMode="External"/><Relationship Id="rId4" Type="http://schemas.openxmlformats.org/officeDocument/2006/relationships/hyperlink" Target="#INFORME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!C1"/><Relationship Id="rId2" Type="http://schemas.openxmlformats.org/officeDocument/2006/relationships/hyperlink" Target="#TITULAR!C1"/><Relationship Id="rId1" Type="http://schemas.openxmlformats.org/officeDocument/2006/relationships/image" Target="../media/image1.jpe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gabriela-ribeiro-33b00b171/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280988</xdr:colOff>
      <xdr:row>3</xdr:row>
      <xdr:rowOff>114300</xdr:rowOff>
    </xdr:from>
    <xdr:to>
      <xdr:col>0</xdr:col>
      <xdr:colOff>1604963</xdr:colOff>
      <xdr:row>10</xdr:row>
      <xdr:rowOff>104775</xdr:rowOff>
    </xdr:to>
    <xdr:pic>
      <xdr:nvPicPr>
        <xdr:cNvPr id="4" name="Imagem 3" descr="A lion head with a mane of red color on a black background | Premium  AI-generated PSD">
          <a:extLst>
            <a:ext uri="{FF2B5EF4-FFF2-40B4-BE49-F238E27FC236}">
              <a16:creationId xmlns:a16="http://schemas.microsoft.com/office/drawing/2014/main" id="{34803A27-C4CA-AFB0-BF77-BDDA1037A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988" y="866775"/>
          <a:ext cx="1323975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171450</xdr:colOff>
      <xdr:row>1</xdr:row>
      <xdr:rowOff>9525</xdr:rowOff>
    </xdr:from>
    <xdr:to>
      <xdr:col>0</xdr:col>
      <xdr:colOff>1714500</xdr:colOff>
      <xdr:row>2</xdr:row>
      <xdr:rowOff>200025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3A0D30B4-21E2-E3CA-8B53-A6E751F61117}"/>
            </a:ext>
          </a:extLst>
        </xdr:cNvPr>
        <xdr:cNvSpPr/>
      </xdr:nvSpPr>
      <xdr:spPr>
        <a:xfrm>
          <a:off x="171450" y="209550"/>
          <a:ext cx="1543050" cy="514350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000" baseline="0"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gradFill flip="none" rotWithShape="1">
                <a:gsLst>
                  <a:gs pos="73000">
                    <a:schemeClr val="tx1">
                      <a:lumMod val="89000"/>
                    </a:schemeClr>
                  </a:gs>
                  <a:gs pos="7000">
                    <a:schemeClr val="tx1"/>
                  </a:gs>
                  <a:gs pos="0">
                    <a:schemeClr val="tx1"/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  <a:gs pos="92000">
                    <a:srgbClr val="7030A0"/>
                  </a:gs>
                  <a:gs pos="50000">
                    <a:srgbClr val="FF0000">
                      <a:alpha val="75000"/>
                      <a:lumMod val="84000"/>
                    </a:srgbClr>
                  </a:gs>
                </a:gsLst>
                <a:lin ang="0" scaled="0"/>
                <a:tileRect/>
              </a:gradFill>
              <a:latin typeface="Verdana" panose="020B0604030504040204" pitchFamily="34" charset="0"/>
              <a:ea typeface="Verdana" panose="020B0604030504040204" pitchFamily="34" charset="0"/>
              <a:cs typeface="Alef" panose="00000500000000000000" pitchFamily="2" charset="-79"/>
            </a:rPr>
            <a:t>IRPF</a:t>
          </a:r>
          <a:r>
            <a:rPr lang="pt-BR" sz="2000" baseline="0"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gradFill>
                <a:gsLst>
                  <a:gs pos="69000">
                    <a:srgbClr val="FF0000"/>
                  </a:gs>
                  <a:gs pos="38000">
                    <a:schemeClr val="tx1"/>
                  </a:gs>
                  <a:gs pos="0">
                    <a:schemeClr val="tx1"/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  <a:gs pos="60000">
                    <a:srgbClr val="7030A0"/>
                  </a:gs>
                  <a:gs pos="83000">
                    <a:srgbClr val="FF0000">
                      <a:alpha val="75000"/>
                      <a:lumMod val="84000"/>
                    </a:srgbClr>
                  </a:gs>
                </a:gsLst>
                <a:lin ang="5400000" scaled="1"/>
              </a:gradFill>
              <a:latin typeface="Verdana" panose="020B0604030504040204" pitchFamily="34" charset="0"/>
              <a:ea typeface="Verdana" panose="020B0604030504040204" pitchFamily="34" charset="0"/>
              <a:cs typeface="Alef" panose="00000500000000000000" pitchFamily="2" charset="-79"/>
            </a:rPr>
            <a:t> </a:t>
          </a:r>
          <a:endParaRPr lang="pt-BR" sz="2000" baseline="0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gradFill>
              <a:gsLst>
                <a:gs pos="73000">
                  <a:srgbClr val="7030A0"/>
                </a:gs>
                <a:gs pos="53000">
                  <a:schemeClr val="tx1"/>
                </a:gs>
                <a:gs pos="8610">
                  <a:srgbClr val="580000"/>
                </a:gs>
                <a:gs pos="30794">
                  <a:schemeClr val="tx1"/>
                </a:gs>
                <a:gs pos="55000">
                  <a:srgbClr val="FF0000">
                    <a:alpha val="75000"/>
                    <a:lumMod val="84000"/>
                  </a:srgbClr>
                </a:gs>
              </a:gsLst>
              <a:lin ang="5400000" scaled="1"/>
            </a:gradFill>
            <a:latin typeface="Verdana" panose="020B0604030504040204" pitchFamily="34" charset="0"/>
            <a:ea typeface="Verdana" panose="020B0604030504040204" pitchFamily="34" charset="0"/>
            <a:cs typeface="Alef" panose="00000500000000000000" pitchFamily="2" charset="-79"/>
          </a:endParaRPr>
        </a:p>
        <a:p>
          <a:pPr algn="ctr"/>
          <a:endParaRPr lang="pt-BR" sz="2400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gradFill>
              <a:gsLst>
                <a:gs pos="69000">
                  <a:srgbClr val="FF0000"/>
                </a:gs>
                <a:gs pos="38000">
                  <a:schemeClr val="tx1"/>
                </a:gs>
                <a:gs pos="0">
                  <a:schemeClr val="tx1"/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60000">
                  <a:srgbClr val="7030A0"/>
                </a:gs>
                <a:gs pos="83000">
                  <a:srgbClr val="FF0000">
                    <a:alpha val="75000"/>
                    <a:lumMod val="84000"/>
                  </a:srgbClr>
                </a:gs>
              </a:gsLst>
              <a:lin ang="5400000" scaled="1"/>
            </a:gradFill>
          </a:endParaRPr>
        </a:p>
      </xdr:txBody>
    </xdr:sp>
    <xdr:clientData/>
  </xdr:twoCellAnchor>
  <xdr:twoCellAnchor editAs="absolute">
    <xdr:from>
      <xdr:col>0</xdr:col>
      <xdr:colOff>107156</xdr:colOff>
      <xdr:row>10</xdr:row>
      <xdr:rowOff>76200</xdr:rowOff>
    </xdr:from>
    <xdr:to>
      <xdr:col>0</xdr:col>
      <xdr:colOff>1821656</xdr:colOff>
      <xdr:row>12</xdr:row>
      <xdr:rowOff>28575</xdr:rowOff>
    </xdr:to>
    <xdr:sp macro="" textlink="">
      <xdr:nvSpPr>
        <xdr:cNvPr id="7" name="Retângulo: Cantos Arredondado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923667D-D7AB-79FF-1B0E-5C38B468FA11}"/>
            </a:ext>
          </a:extLst>
        </xdr:cNvPr>
        <xdr:cNvSpPr/>
      </xdr:nvSpPr>
      <xdr:spPr>
        <a:xfrm>
          <a:off x="107156" y="2162175"/>
          <a:ext cx="1714500" cy="333375"/>
        </a:xfrm>
        <a:prstGeom prst="roundRect">
          <a:avLst>
            <a:gd name="adj" fmla="val 30953"/>
          </a:avLst>
        </a:prstGeom>
        <a:gradFill>
          <a:gsLst>
            <a:gs pos="98306">
              <a:srgbClr val="732F9C"/>
            </a:gs>
            <a:gs pos="14000">
              <a:srgbClr val="7030A0"/>
            </a:gs>
            <a:gs pos="12000">
              <a:srgbClr val="800000"/>
            </a:gs>
            <a:gs pos="23000">
              <a:srgbClr val="FF0000"/>
            </a:gs>
          </a:gsLst>
          <a:lin ang="5400000" scaled="1"/>
        </a:gradFill>
        <a:ln/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solidFill>
                <a:schemeClr val="lt1"/>
              </a:solidFill>
              <a:latin typeface="Aptos Narrow" panose="020B0004020202020204" pitchFamily="34" charset="0"/>
              <a:ea typeface="Verdana" panose="020B0604030504040204" pitchFamily="34" charset="0"/>
              <a:cs typeface="+mn-cs"/>
            </a:rPr>
            <a:t>TITULAR</a:t>
          </a:r>
        </a:p>
      </xdr:txBody>
    </xdr:sp>
    <xdr:clientData/>
  </xdr:twoCellAnchor>
  <xdr:twoCellAnchor editAs="absolute">
    <xdr:from>
      <xdr:col>0</xdr:col>
      <xdr:colOff>107156</xdr:colOff>
      <xdr:row>13</xdr:row>
      <xdr:rowOff>19050</xdr:rowOff>
    </xdr:from>
    <xdr:to>
      <xdr:col>0</xdr:col>
      <xdr:colOff>1821656</xdr:colOff>
      <xdr:row>14</xdr:row>
      <xdr:rowOff>161925</xdr:rowOff>
    </xdr:to>
    <xdr:sp macro="" textlink="">
      <xdr:nvSpPr>
        <xdr:cNvPr id="9" name="Retângulo: Cantos Arredondados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E655419-01E1-4444-A9A8-B70A8F5CE02F}"/>
            </a:ext>
          </a:extLst>
        </xdr:cNvPr>
        <xdr:cNvSpPr/>
      </xdr:nvSpPr>
      <xdr:spPr>
        <a:xfrm>
          <a:off x="107156" y="2676525"/>
          <a:ext cx="1714500" cy="333375"/>
        </a:xfrm>
        <a:prstGeom prst="roundRect">
          <a:avLst>
            <a:gd name="adj" fmla="val 30953"/>
          </a:avLst>
        </a:prstGeom>
        <a:noFill/>
        <a:ln>
          <a:solidFill>
            <a:srgbClr val="9D58D0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atin typeface="Aptos Narrow" panose="020B0004020202020204" pitchFamily="34" charset="0"/>
              <a:ea typeface="Verdana" panose="020B060403050404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107156</xdr:colOff>
      <xdr:row>16</xdr:row>
      <xdr:rowOff>9525</xdr:rowOff>
    </xdr:from>
    <xdr:to>
      <xdr:col>0</xdr:col>
      <xdr:colOff>1821656</xdr:colOff>
      <xdr:row>17</xdr:row>
      <xdr:rowOff>152400</xdr:rowOff>
    </xdr:to>
    <xdr:sp macro="" textlink="">
      <xdr:nvSpPr>
        <xdr:cNvPr id="10" name="Retângulo: Cantos Arredondados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0D9FAA2-BDD4-4035-8C88-7CE15827FF5D}"/>
            </a:ext>
          </a:extLst>
        </xdr:cNvPr>
        <xdr:cNvSpPr/>
      </xdr:nvSpPr>
      <xdr:spPr>
        <a:xfrm>
          <a:off x="107156" y="3238500"/>
          <a:ext cx="1714500" cy="333375"/>
        </a:xfrm>
        <a:prstGeom prst="roundRect">
          <a:avLst>
            <a:gd name="adj" fmla="val 30953"/>
          </a:avLst>
        </a:prstGeom>
        <a:noFill/>
        <a:ln>
          <a:solidFill>
            <a:srgbClr val="7030A0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atin typeface="Aptos Narrow" panose="020B0004020202020204" pitchFamily="34" charset="0"/>
              <a:ea typeface="Verdana" panose="020B060403050404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762000</xdr:colOff>
      <xdr:row>22</xdr:row>
      <xdr:rowOff>73025</xdr:rowOff>
    </xdr:from>
    <xdr:to>
      <xdr:col>0</xdr:col>
      <xdr:colOff>1047750</xdr:colOff>
      <xdr:row>23</xdr:row>
      <xdr:rowOff>168275</xdr:rowOff>
    </xdr:to>
    <xdr:pic>
      <xdr:nvPicPr>
        <xdr:cNvPr id="20" name="icon_link" descr="Linkedin Icon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4D276A6-5F2B-4F40-A947-7B2E4A6AB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4450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9524</xdr:colOff>
      <xdr:row>19</xdr:row>
      <xdr:rowOff>9524</xdr:rowOff>
    </xdr:from>
    <xdr:to>
      <xdr:col>3</xdr:col>
      <xdr:colOff>3057525</xdr:colOff>
      <xdr:row>20</xdr:row>
      <xdr:rowOff>180975</xdr:rowOff>
    </xdr:to>
    <xdr:sp macro="" textlink="">
      <xdr:nvSpPr>
        <xdr:cNvPr id="21" name="Retângulo 2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BBC4E2C-5B05-4951-77EE-2BDCDBF1F34C}"/>
            </a:ext>
          </a:extLst>
        </xdr:cNvPr>
        <xdr:cNvSpPr/>
      </xdr:nvSpPr>
      <xdr:spPr>
        <a:xfrm>
          <a:off x="5562599" y="4143374"/>
          <a:ext cx="3048001" cy="361951"/>
        </a:xfrm>
        <a:prstGeom prst="rect">
          <a:avLst/>
        </a:prstGeom>
        <a:solidFill>
          <a:schemeClr val="bg2">
            <a:lumMod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PRÓXIMO</a:t>
          </a:r>
          <a:r>
            <a:rPr lang="pt-BR" sz="1400" b="1" baseline="0"/>
            <a:t> </a:t>
          </a:r>
        </a:p>
        <a:p>
          <a:pPr algn="ctr"/>
          <a:endParaRPr lang="pt-BR" sz="14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320278</xdr:colOff>
      <xdr:row>3</xdr:row>
      <xdr:rowOff>114300</xdr:rowOff>
    </xdr:from>
    <xdr:to>
      <xdr:col>0</xdr:col>
      <xdr:colOff>1644253</xdr:colOff>
      <xdr:row>10</xdr:row>
      <xdr:rowOff>57150</xdr:rowOff>
    </xdr:to>
    <xdr:pic>
      <xdr:nvPicPr>
        <xdr:cNvPr id="2" name="Imagem 1" descr="A lion head with a mane of red color on a black background | Premium  AI-generated PSD">
          <a:extLst>
            <a:ext uri="{FF2B5EF4-FFF2-40B4-BE49-F238E27FC236}">
              <a16:creationId xmlns:a16="http://schemas.microsoft.com/office/drawing/2014/main" id="{50129161-A57A-4866-93AE-2035FCC0CA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278" y="866775"/>
          <a:ext cx="1323975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171450</xdr:colOff>
      <xdr:row>1</xdr:row>
      <xdr:rowOff>9525</xdr:rowOff>
    </xdr:from>
    <xdr:to>
      <xdr:col>0</xdr:col>
      <xdr:colOff>1714500</xdr:colOff>
      <xdr:row>2</xdr:row>
      <xdr:rowOff>200025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4CE6EF8B-528A-431D-A64C-6CFD09CA93EA}"/>
            </a:ext>
          </a:extLst>
        </xdr:cNvPr>
        <xdr:cNvSpPr/>
      </xdr:nvSpPr>
      <xdr:spPr>
        <a:xfrm>
          <a:off x="171450" y="209550"/>
          <a:ext cx="1543050" cy="514350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000"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gradFill>
                <a:gsLst>
                  <a:gs pos="69000">
                    <a:srgbClr val="FF0000"/>
                  </a:gs>
                  <a:gs pos="38000">
                    <a:schemeClr val="tx1"/>
                  </a:gs>
                  <a:gs pos="0">
                    <a:schemeClr val="tx1"/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  <a:gs pos="60000">
                    <a:srgbClr val="7030A0"/>
                  </a:gs>
                  <a:gs pos="83000">
                    <a:srgbClr val="FF0000">
                      <a:alpha val="75000"/>
                      <a:lumMod val="84000"/>
                    </a:srgbClr>
                  </a:gs>
                </a:gsLst>
                <a:lin ang="5400000" scaled="1"/>
              </a:gradFill>
              <a:latin typeface="Verdana" panose="020B0604030504040204" pitchFamily="34" charset="0"/>
              <a:ea typeface="Verdana" panose="020B0604030504040204" pitchFamily="34" charset="0"/>
              <a:cs typeface="Alef" panose="00000500000000000000" pitchFamily="2" charset="-79"/>
            </a:rPr>
            <a:t>IRPF</a:t>
          </a:r>
          <a:r>
            <a:rPr lang="pt-BR" sz="2000" baseline="0"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gradFill>
                <a:gsLst>
                  <a:gs pos="69000">
                    <a:srgbClr val="FF0000"/>
                  </a:gs>
                  <a:gs pos="38000">
                    <a:schemeClr val="tx1"/>
                  </a:gs>
                  <a:gs pos="0">
                    <a:schemeClr val="tx1"/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  <a:gs pos="60000">
                    <a:srgbClr val="7030A0"/>
                  </a:gs>
                  <a:gs pos="83000">
                    <a:srgbClr val="FF0000">
                      <a:alpha val="75000"/>
                      <a:lumMod val="84000"/>
                    </a:srgbClr>
                  </a:gs>
                </a:gsLst>
                <a:lin ang="5400000" scaled="1"/>
              </a:gradFill>
              <a:latin typeface="Verdana" panose="020B0604030504040204" pitchFamily="34" charset="0"/>
              <a:ea typeface="Verdana" panose="020B0604030504040204" pitchFamily="34" charset="0"/>
              <a:cs typeface="Alef" panose="00000500000000000000" pitchFamily="2" charset="-79"/>
            </a:rPr>
            <a:t> </a:t>
          </a:r>
        </a:p>
        <a:p>
          <a:pPr algn="ctr"/>
          <a:endParaRPr lang="pt-BR" sz="2400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gradFill>
              <a:gsLst>
                <a:gs pos="69000">
                  <a:srgbClr val="FF0000"/>
                </a:gs>
                <a:gs pos="38000">
                  <a:schemeClr val="tx1"/>
                </a:gs>
                <a:gs pos="0">
                  <a:schemeClr val="tx1"/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60000">
                  <a:srgbClr val="7030A0"/>
                </a:gs>
                <a:gs pos="83000">
                  <a:srgbClr val="FF0000">
                    <a:alpha val="75000"/>
                    <a:lumMod val="84000"/>
                  </a:srgbClr>
                </a:gs>
              </a:gsLst>
              <a:lin ang="5400000" scaled="1"/>
            </a:gradFill>
          </a:endParaRPr>
        </a:p>
      </xdr:txBody>
    </xdr:sp>
    <xdr:clientData/>
  </xdr:twoCellAnchor>
  <xdr:twoCellAnchor editAs="absolute">
    <xdr:from>
      <xdr:col>0</xdr:col>
      <xdr:colOff>125015</xdr:colOff>
      <xdr:row>10</xdr:row>
      <xdr:rowOff>28575</xdr:rowOff>
    </xdr:from>
    <xdr:to>
      <xdr:col>0</xdr:col>
      <xdr:colOff>1839515</xdr:colOff>
      <xdr:row>11</xdr:row>
      <xdr:rowOff>171450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2A3C254-45C4-4FAA-A7D3-A9E81FED330A}"/>
            </a:ext>
          </a:extLst>
        </xdr:cNvPr>
        <xdr:cNvSpPr/>
      </xdr:nvSpPr>
      <xdr:spPr>
        <a:xfrm>
          <a:off x="125015" y="2162175"/>
          <a:ext cx="1714500" cy="333375"/>
        </a:xfrm>
        <a:prstGeom prst="roundRect">
          <a:avLst>
            <a:gd name="adj" fmla="val 30953"/>
          </a:avLst>
        </a:prstGeom>
        <a:noFill/>
        <a:ln>
          <a:solidFill>
            <a:srgbClr val="7030A0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atin typeface="Aptos Narrow" panose="020B0004020202020204" pitchFamily="34" charset="0"/>
              <a:ea typeface="Verdana" panose="020B060403050404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125015</xdr:colOff>
      <xdr:row>15</xdr:row>
      <xdr:rowOff>152400</xdr:rowOff>
    </xdr:from>
    <xdr:to>
      <xdr:col>0</xdr:col>
      <xdr:colOff>1839515</xdr:colOff>
      <xdr:row>17</xdr:row>
      <xdr:rowOff>104775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5D06B41-51E5-43B6-88AB-B25EAEEAFF3E}"/>
            </a:ext>
          </a:extLst>
        </xdr:cNvPr>
        <xdr:cNvSpPr/>
      </xdr:nvSpPr>
      <xdr:spPr>
        <a:xfrm>
          <a:off x="125015" y="3238500"/>
          <a:ext cx="1714500" cy="333375"/>
        </a:xfrm>
        <a:prstGeom prst="roundRect">
          <a:avLst>
            <a:gd name="adj" fmla="val 30953"/>
          </a:avLst>
        </a:prstGeom>
        <a:noFill/>
        <a:ln>
          <a:solidFill>
            <a:srgbClr val="7030A0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atin typeface="Aptos Narrow" panose="020B0004020202020204" pitchFamily="34" charset="0"/>
              <a:ea typeface="Verdana" panose="020B060403050404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125015</xdr:colOff>
      <xdr:row>13</xdr:row>
      <xdr:rowOff>9525</xdr:rowOff>
    </xdr:from>
    <xdr:to>
      <xdr:col>0</xdr:col>
      <xdr:colOff>1839515</xdr:colOff>
      <xdr:row>14</xdr:row>
      <xdr:rowOff>152400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73A6A2C-5BF6-4F35-BEB7-AD684896F7C4}"/>
            </a:ext>
          </a:extLst>
        </xdr:cNvPr>
        <xdr:cNvSpPr/>
      </xdr:nvSpPr>
      <xdr:spPr>
        <a:xfrm>
          <a:off x="125015" y="2714625"/>
          <a:ext cx="1714500" cy="333375"/>
        </a:xfrm>
        <a:prstGeom prst="roundRect">
          <a:avLst>
            <a:gd name="adj" fmla="val 30953"/>
          </a:avLst>
        </a:prstGeom>
        <a:gradFill>
          <a:gsLst>
            <a:gs pos="98306">
              <a:srgbClr val="732F9C"/>
            </a:gs>
            <a:gs pos="14000">
              <a:srgbClr val="7030A0"/>
            </a:gs>
            <a:gs pos="12000">
              <a:srgbClr val="800000"/>
            </a:gs>
            <a:gs pos="23000">
              <a:srgbClr val="FF0000"/>
            </a:gs>
          </a:gsLst>
          <a:lin ang="5400000" scaled="1"/>
        </a:gradFill>
        <a:ln/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solidFill>
                <a:schemeClr val="lt1"/>
              </a:solidFill>
              <a:latin typeface="Aptos Narrow" panose="020B0004020202020204" pitchFamily="34" charset="0"/>
              <a:ea typeface="Verdana" panose="020B0604030504040204" pitchFamily="34" charset="0"/>
              <a:cs typeface="+mn-cs"/>
            </a:rPr>
            <a:t>INFORMES</a:t>
          </a:r>
        </a:p>
        <a:p>
          <a:pPr marL="0" indent="0" algn="ctr"/>
          <a:endParaRPr lang="pt-BR" sz="1400" b="1">
            <a:solidFill>
              <a:schemeClr val="lt1"/>
            </a:solidFill>
            <a:latin typeface="Aptos Narrow" panose="020B0004020202020204" pitchFamily="34" charset="0"/>
            <a:ea typeface="Verdana" panose="020B0604030504040204" pitchFamily="34" charset="0"/>
            <a:cs typeface="+mn-cs"/>
          </a:endParaRPr>
        </a:p>
      </xdr:txBody>
    </xdr:sp>
    <xdr:clientData/>
  </xdr:twoCellAnchor>
  <xdr:twoCellAnchor editAs="absolute">
    <xdr:from>
      <xdr:col>0</xdr:col>
      <xdr:colOff>762000</xdr:colOff>
      <xdr:row>22</xdr:row>
      <xdr:rowOff>25400</xdr:rowOff>
    </xdr:from>
    <xdr:to>
      <xdr:col>0</xdr:col>
      <xdr:colOff>1047750</xdr:colOff>
      <xdr:row>23</xdr:row>
      <xdr:rowOff>120650</xdr:rowOff>
    </xdr:to>
    <xdr:pic>
      <xdr:nvPicPr>
        <xdr:cNvPr id="8" name="icon_link" descr="Linkedin Icon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1E13A56-C8EB-48AC-A56A-E589F005C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4450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23</xdr:row>
      <xdr:rowOff>0</xdr:rowOff>
    </xdr:from>
    <xdr:to>
      <xdr:col>4</xdr:col>
      <xdr:colOff>0</xdr:colOff>
      <xdr:row>24</xdr:row>
      <xdr:rowOff>171451</xdr:rowOff>
    </xdr:to>
    <xdr:sp macro="" textlink="">
      <xdr:nvSpPr>
        <xdr:cNvPr id="5" name="Retâ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6F3FD2B-2D56-471E-AFAB-51659DB3A15A}"/>
            </a:ext>
          </a:extLst>
        </xdr:cNvPr>
        <xdr:cNvSpPr/>
      </xdr:nvSpPr>
      <xdr:spPr>
        <a:xfrm>
          <a:off x="5715000" y="4429125"/>
          <a:ext cx="3086100" cy="361951"/>
        </a:xfrm>
        <a:prstGeom prst="rect">
          <a:avLst/>
        </a:prstGeom>
        <a:solidFill>
          <a:schemeClr val="bg2">
            <a:lumMod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PRÓXIMO</a:t>
          </a:r>
          <a:r>
            <a:rPr lang="pt-BR" sz="1200" b="1" baseline="0"/>
            <a:t> </a:t>
          </a:r>
        </a:p>
        <a:p>
          <a:pPr algn="ctr"/>
          <a:endParaRPr lang="pt-BR" sz="1200" b="1"/>
        </a:p>
      </xdr:txBody>
    </xdr:sp>
    <xdr:clientData/>
  </xdr:twoCellAnchor>
  <xdr:twoCellAnchor>
    <xdr:from>
      <xdr:col>2</xdr:col>
      <xdr:colOff>0</xdr:colOff>
      <xdr:row>23</xdr:row>
      <xdr:rowOff>0</xdr:rowOff>
    </xdr:from>
    <xdr:to>
      <xdr:col>3</xdr:col>
      <xdr:colOff>0</xdr:colOff>
      <xdr:row>24</xdr:row>
      <xdr:rowOff>171451</xdr:rowOff>
    </xdr:to>
    <xdr:sp macro="" textlink="">
      <xdr:nvSpPr>
        <xdr:cNvPr id="9" name="Retângulo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0AC9328-B5E9-492B-9F87-C479E103D197}"/>
            </a:ext>
          </a:extLst>
        </xdr:cNvPr>
        <xdr:cNvSpPr/>
      </xdr:nvSpPr>
      <xdr:spPr>
        <a:xfrm>
          <a:off x="2628900" y="4429125"/>
          <a:ext cx="3086100" cy="361951"/>
        </a:xfrm>
        <a:prstGeom prst="rect">
          <a:avLst/>
        </a:prstGeom>
        <a:solidFill>
          <a:schemeClr val="bg2">
            <a:lumMod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 baseline="0"/>
            <a:t>ANTERIOR</a:t>
          </a:r>
        </a:p>
        <a:p>
          <a:pPr algn="ctr"/>
          <a:endParaRPr lang="pt-BR" sz="1200" b="1" baseline="0"/>
        </a:p>
        <a:p>
          <a:pPr algn="ctr"/>
          <a:endParaRPr lang="pt-BR" sz="12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280988</xdr:colOff>
      <xdr:row>3</xdr:row>
      <xdr:rowOff>114300</xdr:rowOff>
    </xdr:from>
    <xdr:to>
      <xdr:col>0</xdr:col>
      <xdr:colOff>1604963</xdr:colOff>
      <xdr:row>10</xdr:row>
      <xdr:rowOff>95250</xdr:rowOff>
    </xdr:to>
    <xdr:pic>
      <xdr:nvPicPr>
        <xdr:cNvPr id="2" name="Imagem 1" descr="A lion head with a mane of red color on a black background | Premium  AI-generated PSD">
          <a:extLst>
            <a:ext uri="{FF2B5EF4-FFF2-40B4-BE49-F238E27FC236}">
              <a16:creationId xmlns:a16="http://schemas.microsoft.com/office/drawing/2014/main" id="{65D08AF3-A6A4-42BA-9B93-B9C90FB9E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988" y="866775"/>
          <a:ext cx="1323975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171450</xdr:colOff>
      <xdr:row>1</xdr:row>
      <xdr:rowOff>9525</xdr:rowOff>
    </xdr:from>
    <xdr:to>
      <xdr:col>0</xdr:col>
      <xdr:colOff>1714500</xdr:colOff>
      <xdr:row>2</xdr:row>
      <xdr:rowOff>200025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8E949062-CF64-4349-A0D2-AA2330E99245}"/>
            </a:ext>
          </a:extLst>
        </xdr:cNvPr>
        <xdr:cNvSpPr/>
      </xdr:nvSpPr>
      <xdr:spPr>
        <a:xfrm>
          <a:off x="171450" y="209550"/>
          <a:ext cx="1543050" cy="514350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000" baseline="0"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gradFill>
                <a:gsLst>
                  <a:gs pos="69000">
                    <a:srgbClr val="FF0000"/>
                  </a:gs>
                  <a:gs pos="38000">
                    <a:schemeClr val="tx1"/>
                  </a:gs>
                  <a:gs pos="0">
                    <a:schemeClr val="tx1"/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  <a:gs pos="60000">
                    <a:srgbClr val="7030A0"/>
                  </a:gs>
                  <a:gs pos="83000">
                    <a:srgbClr val="FF0000">
                      <a:alpha val="75000"/>
                      <a:lumMod val="84000"/>
                    </a:srgbClr>
                  </a:gs>
                </a:gsLst>
                <a:lin ang="5400000" scaled="1"/>
              </a:gradFill>
              <a:latin typeface="Verdana" panose="020B0604030504040204" pitchFamily="34" charset="0"/>
              <a:ea typeface="Verdana" panose="020B0604030504040204" pitchFamily="34" charset="0"/>
              <a:cs typeface="Alef" panose="00000500000000000000" pitchFamily="2" charset="-79"/>
            </a:rPr>
            <a:t>IRPF </a:t>
          </a:r>
        </a:p>
        <a:p>
          <a:pPr algn="ctr"/>
          <a:endParaRPr lang="pt-BR" sz="2400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gradFill>
              <a:gsLst>
                <a:gs pos="69000">
                  <a:srgbClr val="FF0000"/>
                </a:gs>
                <a:gs pos="38000">
                  <a:schemeClr val="tx1"/>
                </a:gs>
                <a:gs pos="0">
                  <a:schemeClr val="tx1"/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60000">
                  <a:srgbClr val="7030A0"/>
                </a:gs>
                <a:gs pos="83000">
                  <a:srgbClr val="FF0000">
                    <a:alpha val="75000"/>
                    <a:lumMod val="84000"/>
                  </a:srgbClr>
                </a:gs>
              </a:gsLst>
              <a:lin ang="5400000" scaled="1"/>
            </a:gradFill>
          </a:endParaRPr>
        </a:p>
      </xdr:txBody>
    </xdr:sp>
    <xdr:clientData/>
  </xdr:twoCellAnchor>
  <xdr:twoCellAnchor editAs="absolute">
    <xdr:from>
      <xdr:col>0</xdr:col>
      <xdr:colOff>125015</xdr:colOff>
      <xdr:row>10</xdr:row>
      <xdr:rowOff>66675</xdr:rowOff>
    </xdr:from>
    <xdr:to>
      <xdr:col>0</xdr:col>
      <xdr:colOff>1839515</xdr:colOff>
      <xdr:row>12</xdr:row>
      <xdr:rowOff>19050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CEB84E7-DB4D-4B09-81C2-44726E6C1FF3}"/>
            </a:ext>
          </a:extLst>
        </xdr:cNvPr>
        <xdr:cNvSpPr/>
      </xdr:nvSpPr>
      <xdr:spPr>
        <a:xfrm>
          <a:off x="125015" y="2162175"/>
          <a:ext cx="1714500" cy="333375"/>
        </a:xfrm>
        <a:prstGeom prst="roundRect">
          <a:avLst>
            <a:gd name="adj" fmla="val 30953"/>
          </a:avLst>
        </a:prstGeom>
        <a:noFill/>
        <a:ln>
          <a:solidFill>
            <a:srgbClr val="7030A0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atin typeface="Aptos Narrow" panose="020B0004020202020204" pitchFamily="34" charset="0"/>
              <a:ea typeface="Verdana" panose="020B060403050404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125015</xdr:colOff>
      <xdr:row>13</xdr:row>
      <xdr:rowOff>9525</xdr:rowOff>
    </xdr:from>
    <xdr:to>
      <xdr:col>0</xdr:col>
      <xdr:colOff>1839515</xdr:colOff>
      <xdr:row>14</xdr:row>
      <xdr:rowOff>152400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9129706-623F-44B0-BCC2-3D01C16DB1CE}"/>
            </a:ext>
          </a:extLst>
        </xdr:cNvPr>
        <xdr:cNvSpPr/>
      </xdr:nvSpPr>
      <xdr:spPr>
        <a:xfrm>
          <a:off x="125015" y="2676525"/>
          <a:ext cx="1714500" cy="333375"/>
        </a:xfrm>
        <a:prstGeom prst="roundRect">
          <a:avLst>
            <a:gd name="adj" fmla="val 30953"/>
          </a:avLst>
        </a:prstGeom>
        <a:noFill/>
        <a:ln>
          <a:solidFill>
            <a:srgbClr val="7030A0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atin typeface="Aptos Narrow" panose="020B0004020202020204" pitchFamily="34" charset="0"/>
              <a:ea typeface="Verdana" panose="020B060403050404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125015</xdr:colOff>
      <xdr:row>16</xdr:row>
      <xdr:rowOff>0</xdr:rowOff>
    </xdr:from>
    <xdr:to>
      <xdr:col>0</xdr:col>
      <xdr:colOff>1839515</xdr:colOff>
      <xdr:row>17</xdr:row>
      <xdr:rowOff>142875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776E619-305F-4A92-BC52-73190B00700B}"/>
            </a:ext>
          </a:extLst>
        </xdr:cNvPr>
        <xdr:cNvSpPr/>
      </xdr:nvSpPr>
      <xdr:spPr>
        <a:xfrm>
          <a:off x="125015" y="3238500"/>
          <a:ext cx="1714500" cy="333375"/>
        </a:xfrm>
        <a:prstGeom prst="roundRect">
          <a:avLst>
            <a:gd name="adj" fmla="val 30953"/>
          </a:avLst>
        </a:prstGeom>
        <a:gradFill>
          <a:gsLst>
            <a:gs pos="98306">
              <a:srgbClr val="732F9C"/>
            </a:gs>
            <a:gs pos="14000">
              <a:srgbClr val="7030A0"/>
            </a:gs>
            <a:gs pos="12000">
              <a:srgbClr val="800000"/>
            </a:gs>
            <a:gs pos="23000">
              <a:srgbClr val="FF0000"/>
            </a:gs>
          </a:gsLst>
          <a:lin ang="5400000" scaled="1"/>
        </a:gradFill>
        <a:ln/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solidFill>
                <a:schemeClr val="lt1"/>
              </a:solidFill>
              <a:latin typeface="Aptos Narrow" panose="020B0004020202020204" pitchFamily="34" charset="0"/>
              <a:ea typeface="Verdana" panose="020B0604030504040204" pitchFamily="34" charset="0"/>
              <a:cs typeface="+mn-cs"/>
            </a:rPr>
            <a:t>NOTAS</a:t>
          </a:r>
        </a:p>
      </xdr:txBody>
    </xdr:sp>
    <xdr:clientData/>
  </xdr:twoCellAnchor>
  <xdr:twoCellAnchor editAs="absolute">
    <xdr:from>
      <xdr:col>0</xdr:col>
      <xdr:colOff>762000</xdr:colOff>
      <xdr:row>22</xdr:row>
      <xdr:rowOff>25400</xdr:rowOff>
    </xdr:from>
    <xdr:to>
      <xdr:col>0</xdr:col>
      <xdr:colOff>1047750</xdr:colOff>
      <xdr:row>23</xdr:row>
      <xdr:rowOff>120650</xdr:rowOff>
    </xdr:to>
    <xdr:pic>
      <xdr:nvPicPr>
        <xdr:cNvPr id="8" name="icon_link" descr="Linkedin Icon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502B9FC-D660-474C-9580-1EAF556EF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4450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16384</xdr:col>
      <xdr:colOff>304800</xdr:colOff>
      <xdr:row>16</xdr:row>
      <xdr:rowOff>114300</xdr:rowOff>
    </xdr:to>
    <xdr:sp macro="" textlink="">
      <xdr:nvSpPr>
        <xdr:cNvPr id="5121" name="AutoShape 1" descr="Logotipo Da Cara Do Leão Cabeça De Um ícone Do Leão Símbolo Ilustração  Gráfica Vetorial Preto | EPS baixar grátis - Pikbest">
          <a:extLst>
            <a:ext uri="{FF2B5EF4-FFF2-40B4-BE49-F238E27FC236}">
              <a16:creationId xmlns:a16="http://schemas.microsoft.com/office/drawing/2014/main" id="{DADF37AC-5603-E799-18F5-CBB2D03EF934}"/>
            </a:ext>
          </a:extLst>
        </xdr:cNvPr>
        <xdr:cNvSpPr>
          <a:spLocks noChangeAspect="1" noChangeArrowheads="1"/>
        </xdr:cNvSpPr>
      </xdr:nvSpPr>
      <xdr:spPr bwMode="auto">
        <a:xfrm>
          <a:off x="5610225" y="22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304800</xdr:colOff>
      <xdr:row>10</xdr:row>
      <xdr:rowOff>114300</xdr:rowOff>
    </xdr:to>
    <xdr:sp macro="" textlink="">
      <xdr:nvSpPr>
        <xdr:cNvPr id="5122" name="AutoShape 2" descr="Logotipo Da Cara Do Leão Cabeça De Um ícone Do Leão Símbolo Ilustração  Gráfica Vetorial Preto | EPS baixar grátis - Pikbest">
          <a:extLst>
            <a:ext uri="{FF2B5EF4-FFF2-40B4-BE49-F238E27FC236}">
              <a16:creationId xmlns:a16="http://schemas.microsoft.com/office/drawing/2014/main" id="{53A6ADAF-5908-BE9D-8BE5-3ECDA65A7EE0}"/>
            </a:ext>
          </a:extLst>
        </xdr:cNvPr>
        <xdr:cNvSpPr>
          <a:spLocks noChangeAspect="1" noChangeArrowheads="1"/>
        </xdr:cNvSpPr>
      </xdr:nvSpPr>
      <xdr:spPr bwMode="auto">
        <a:xfrm>
          <a:off x="4391025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36</xdr:row>
      <xdr:rowOff>19049</xdr:rowOff>
    </xdr:from>
    <xdr:to>
      <xdr:col>4</xdr:col>
      <xdr:colOff>0</xdr:colOff>
      <xdr:row>38</xdr:row>
      <xdr:rowOff>0</xdr:rowOff>
    </xdr:to>
    <xdr:sp macro="" textlink="">
      <xdr:nvSpPr>
        <xdr:cNvPr id="10" name="Retângulo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E70451B-3E2F-4EF7-A9F4-98AB60E6521F}"/>
            </a:ext>
          </a:extLst>
        </xdr:cNvPr>
        <xdr:cNvSpPr/>
      </xdr:nvSpPr>
      <xdr:spPr>
        <a:xfrm>
          <a:off x="2562225" y="7067549"/>
          <a:ext cx="4095750" cy="361951"/>
        </a:xfrm>
        <a:prstGeom prst="rect">
          <a:avLst/>
        </a:prstGeom>
        <a:solidFill>
          <a:schemeClr val="bg2">
            <a:lumMod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baseline="0"/>
            <a:t>ANTERIOR</a:t>
          </a:r>
        </a:p>
        <a:p>
          <a:pPr algn="ctr"/>
          <a:endParaRPr lang="pt-BR" sz="1400" b="1" baseline="0"/>
        </a:p>
        <a:p>
          <a:pPr algn="ctr"/>
          <a:endParaRPr lang="pt-BR" sz="1400" b="1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77778C-6D37-4C58-9274-1102193E9412}" name="Tabela2" displayName="Tabela2" ref="C6:E18" totalsRowShown="0" headerRowDxfId="9" dataDxfId="8">
  <autoFilter ref="C6:E18" xr:uid="{3677778C-6D37-4C58-9274-1102193E9412}"/>
  <tableColumns count="3">
    <tableColumn id="1" xr3:uid="{002405DC-ED0B-47BB-8B40-3B0C8DDA6E4A}" name="DATA" dataDxfId="7"/>
    <tableColumn id="2" xr3:uid="{EAE845FE-242B-4633-B7E2-51CC18ECE3B5}" name="CATEGORIA" dataDxfId="6"/>
    <tableColumn id="3" xr3:uid="{9D9941E4-95A9-42C3-87AC-BFDCF92BF44B}" name="VALOR" dataDxfId="5"/>
  </tableColumns>
  <tableStyleInfo name="TableStyleLight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705B0CD-A4C1-491C-9F20-4EFE450ED292}" name="Tabela27" displayName="Tabela27" ref="C22:E34" totalsRowShown="0" headerRowDxfId="4" dataDxfId="3">
  <autoFilter ref="C22:E34" xr:uid="{0705B0CD-A4C1-491C-9F20-4EFE450ED292}"/>
  <tableColumns count="3">
    <tableColumn id="1" xr3:uid="{7EE6F1E0-23A1-40B5-913F-9A5F384C5063}" name="DATA" dataDxfId="2"/>
    <tableColumn id="2" xr3:uid="{76AE84AC-8689-4685-8919-0843995B877D}" name="CATEGORIA" dataDxfId="1"/>
    <tableColumn id="3" xr3:uid="{5EFC5A61-6051-44DE-961D-F333687B07DF}" name="VALOR" dataDxfId="0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Violeta II">
      <a:dk1>
        <a:sysClr val="windowText" lastClr="000000"/>
      </a:dk1>
      <a:lt1>
        <a:sysClr val="window" lastClr="FFFFFF"/>
      </a:lt1>
      <a:dk2>
        <a:srgbClr val="632E62"/>
      </a:dk2>
      <a:lt2>
        <a:srgbClr val="EAE5EB"/>
      </a:lt2>
      <a:accent1>
        <a:srgbClr val="92278F"/>
      </a:accent1>
      <a:accent2>
        <a:srgbClr val="9B57D3"/>
      </a:accent2>
      <a:accent3>
        <a:srgbClr val="755DD9"/>
      </a:accent3>
      <a:accent4>
        <a:srgbClr val="665EB8"/>
      </a:accent4>
      <a:accent5>
        <a:srgbClr val="45A5ED"/>
      </a:accent5>
      <a:accent6>
        <a:srgbClr val="5982DB"/>
      </a:accent6>
      <a:hlink>
        <a:srgbClr val="0066FF"/>
      </a:hlink>
      <a:folHlink>
        <a:srgbClr val="666699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9EDE8-C841-4CF1-B6D3-C95E48919FB1}">
  <sheetPr codeName="Planilha1">
    <pageSetUpPr fitToPage="1"/>
  </sheetPr>
  <dimension ref="A1:AN33"/>
  <sheetViews>
    <sheetView showGridLines="0" showRowColHeaders="0" tabSelected="1" workbookViewId="0">
      <selection activeCell="D17" sqref="D17"/>
    </sheetView>
  </sheetViews>
  <sheetFormatPr defaultColWidth="0" defaultRowHeight="15" zeroHeight="1" x14ac:dyDescent="0.25"/>
  <cols>
    <col min="1" max="1" width="27.85546875" style="1" customWidth="1"/>
    <col min="2" max="2" width="9.140625" customWidth="1"/>
    <col min="3" max="4" width="46.28515625" customWidth="1"/>
    <col min="5" max="5" width="9.140625" customWidth="1"/>
    <col min="6" max="40" width="0" hidden="1" customWidth="1"/>
    <col min="41" max="16384" width="9.140625" hidden="1"/>
  </cols>
  <sheetData>
    <row r="1" spans="3:4" ht="15.75" thickBot="1" x14ac:dyDescent="0.3"/>
    <row r="2" spans="3:4" ht="25.5" thickTop="1" thickBot="1" x14ac:dyDescent="0.45">
      <c r="C2" s="10" t="s">
        <v>0</v>
      </c>
      <c r="D2" s="11"/>
    </row>
    <row r="3" spans="3:4" ht="18" customHeight="1" thickTop="1" x14ac:dyDescent="0.25">
      <c r="C3" s="25" t="s">
        <v>6</v>
      </c>
      <c r="D3" s="25"/>
    </row>
    <row r="4" spans="3:4" x14ac:dyDescent="0.25"/>
    <row r="5" spans="3:4" x14ac:dyDescent="0.25">
      <c r="C5" s="4" t="s">
        <v>7</v>
      </c>
      <c r="D5" s="14" t="s">
        <v>1</v>
      </c>
    </row>
    <row r="6" spans="3:4" x14ac:dyDescent="0.25">
      <c r="C6" s="4" t="s">
        <v>8</v>
      </c>
      <c r="D6" s="15">
        <v>747658506</v>
      </c>
    </row>
    <row r="7" spans="3:4" x14ac:dyDescent="0.25">
      <c r="C7" s="4" t="s">
        <v>9</v>
      </c>
      <c r="D7" s="16">
        <v>46283</v>
      </c>
    </row>
    <row r="8" spans="3:4" x14ac:dyDescent="0.25">
      <c r="C8" s="4" t="s">
        <v>10</v>
      </c>
      <c r="D8" s="14">
        <v>31358769</v>
      </c>
    </row>
    <row r="9" spans="3:4" x14ac:dyDescent="0.25">
      <c r="C9" s="4" t="s">
        <v>11</v>
      </c>
      <c r="D9" s="14" t="s">
        <v>5</v>
      </c>
    </row>
    <row r="10" spans="3:4" x14ac:dyDescent="0.25">
      <c r="C10" s="4" t="s">
        <v>12</v>
      </c>
      <c r="D10" s="14" t="s">
        <v>2</v>
      </c>
    </row>
    <row r="11" spans="3:4" x14ac:dyDescent="0.25">
      <c r="C11" s="4" t="s">
        <v>13</v>
      </c>
      <c r="D11" s="14" t="s">
        <v>2</v>
      </c>
    </row>
    <row r="12" spans="3:4" x14ac:dyDescent="0.25">
      <c r="C12" s="4" t="s">
        <v>14</v>
      </c>
      <c r="D12" s="17">
        <v>415025878</v>
      </c>
    </row>
    <row r="13" spans="3:4" x14ac:dyDescent="0.25">
      <c r="C13" s="4" t="s">
        <v>15</v>
      </c>
      <c r="D13" s="18">
        <v>7197353638</v>
      </c>
    </row>
    <row r="14" spans="3:4" x14ac:dyDescent="0.25">
      <c r="C14" s="4" t="s">
        <v>16</v>
      </c>
      <c r="D14" s="18">
        <v>7197353638</v>
      </c>
    </row>
    <row r="15" spans="3:4" x14ac:dyDescent="0.25">
      <c r="C15" s="4" t="s">
        <v>17</v>
      </c>
      <c r="D15" s="14" t="s">
        <v>3</v>
      </c>
    </row>
    <row r="16" spans="3:4" x14ac:dyDescent="0.25">
      <c r="C16" s="4" t="s">
        <v>18</v>
      </c>
      <c r="D16" s="14" t="s">
        <v>4</v>
      </c>
    </row>
    <row r="17" spans="1:4" x14ac:dyDescent="0.25">
      <c r="C17" s="4" t="s">
        <v>19</v>
      </c>
      <c r="D17" s="14" t="s">
        <v>4</v>
      </c>
    </row>
    <row r="18" spans="1:4" x14ac:dyDescent="0.25">
      <c r="A18" s="2"/>
      <c r="C18" s="4" t="s">
        <v>20</v>
      </c>
      <c r="D18" s="14" t="s">
        <v>4</v>
      </c>
    </row>
    <row r="19" spans="1:4" x14ac:dyDescent="0.25">
      <c r="C19" s="3"/>
      <c r="D19" s="3"/>
    </row>
    <row r="20" spans="1:4" x14ac:dyDescent="0.25">
      <c r="C20" s="3"/>
      <c r="D20" s="3"/>
    </row>
    <row r="21" spans="1:4" x14ac:dyDescent="0.25">
      <c r="A21" s="23" t="s">
        <v>96</v>
      </c>
      <c r="C21" s="3"/>
      <c r="D21" s="3"/>
    </row>
    <row r="22" spans="1:4" x14ac:dyDescent="0.25"/>
    <row r="23" spans="1:4" x14ac:dyDescent="0.25"/>
    <row r="24" spans="1:4" x14ac:dyDescent="0.25"/>
    <row r="25" spans="1:4" x14ac:dyDescent="0.25"/>
    <row r="26" spans="1:4" x14ac:dyDescent="0.25"/>
    <row r="27" spans="1:4" x14ac:dyDescent="0.25"/>
    <row r="28" spans="1:4" x14ac:dyDescent="0.25"/>
    <row r="29" spans="1:4" x14ac:dyDescent="0.25"/>
    <row r="30" spans="1:4" x14ac:dyDescent="0.25"/>
    <row r="31" spans="1:4" x14ac:dyDescent="0.25"/>
    <row r="32" spans="1:4" x14ac:dyDescent="0.25"/>
    <row r="33" x14ac:dyDescent="0.25"/>
  </sheetData>
  <sheetProtection sheet="1" objects="1" scenarios="1" selectLockedCells="1"/>
  <mergeCells count="1">
    <mergeCell ref="C3:D3"/>
  </mergeCells>
  <dataValidations count="2">
    <dataValidation type="list" allowBlank="1" showInputMessage="1" showErrorMessage="1" sqref="D9" xr:uid="{2B8756B3-CFC2-4DD5-B112-8A3AC2481BCA}">
      <formula1>"Solteiro,Casado,Separado,Viúvo,União Estável"</formula1>
    </dataValidation>
    <dataValidation type="list" allowBlank="1" showInputMessage="1" showErrorMessage="1" sqref="D16 D18" xr:uid="{8CC898D8-119F-44CC-B279-348EEC69D66D}">
      <formula1>"Não,Sim"</formula1>
    </dataValidation>
  </dataValidations>
  <pageMargins left="0.78740157480314965" right="0.39370078740157483" top="0.78740157480314965" bottom="0.78740157480314965" header="0.39370078740157483" footer="0.39370078740157483"/>
  <pageSetup paperSize="9" scale="69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69BDC-D531-4976-8DF8-24187B3017CA}">
  <sheetPr codeName="Planilha2">
    <pageSetUpPr fitToPage="1"/>
  </sheetPr>
  <dimension ref="A1:E34"/>
  <sheetViews>
    <sheetView showGridLines="0" showRowColHeaders="0" tabSelected="1" workbookViewId="0">
      <selection activeCell="D17" sqref="D17"/>
    </sheetView>
  </sheetViews>
  <sheetFormatPr defaultColWidth="0" defaultRowHeight="15" zeroHeight="1" x14ac:dyDescent="0.25"/>
  <cols>
    <col min="1" max="1" width="30.28515625" style="1" customWidth="1"/>
    <col min="2" max="2" width="9.140625" customWidth="1"/>
    <col min="3" max="4" width="46.28515625" customWidth="1"/>
    <col min="5" max="5" width="9.140625" customWidth="1"/>
    <col min="6" max="16384" width="9.140625" hidden="1"/>
  </cols>
  <sheetData>
    <row r="1" spans="3:4" ht="15.75" thickBot="1" x14ac:dyDescent="0.3"/>
    <row r="2" spans="3:4" ht="25.5" thickTop="1" thickBot="1" x14ac:dyDescent="0.45">
      <c r="C2" s="12" t="s">
        <v>21</v>
      </c>
      <c r="D2" s="13"/>
    </row>
    <row r="3" spans="3:4" ht="18" customHeight="1" thickTop="1" x14ac:dyDescent="0.25">
      <c r="C3" s="28" t="s">
        <v>22</v>
      </c>
      <c r="D3" s="28"/>
    </row>
    <row r="4" spans="3:4" x14ac:dyDescent="0.25"/>
    <row r="5" spans="3:4" x14ac:dyDescent="0.25"/>
    <row r="6" spans="3:4" ht="18.75" x14ac:dyDescent="0.3">
      <c r="C6" s="5" t="s">
        <v>80</v>
      </c>
    </row>
    <row r="7" spans="3:4" x14ac:dyDescent="0.25">
      <c r="C7" s="26">
        <f>SUM(D11,D16,D21)</f>
        <v>1500000</v>
      </c>
      <c r="D7" s="27"/>
    </row>
    <row r="8" spans="3:4" x14ac:dyDescent="0.25"/>
    <row r="9" spans="3:4" x14ac:dyDescent="0.25">
      <c r="C9" s="6" t="s">
        <v>77</v>
      </c>
    </row>
    <row r="10" spans="3:4" x14ac:dyDescent="0.25">
      <c r="C10" s="4" t="s">
        <v>23</v>
      </c>
      <c r="D10" s="14" t="s">
        <v>68</v>
      </c>
    </row>
    <row r="11" spans="3:4" x14ac:dyDescent="0.25">
      <c r="C11" s="4" t="s">
        <v>24</v>
      </c>
      <c r="D11" s="19">
        <v>500000</v>
      </c>
    </row>
    <row r="12" spans="3:4" x14ac:dyDescent="0.25">
      <c r="C12" s="4" t="s">
        <v>25</v>
      </c>
      <c r="D12" s="14" t="s">
        <v>81</v>
      </c>
    </row>
    <row r="13" spans="3:4" x14ac:dyDescent="0.25"/>
    <row r="14" spans="3:4" x14ac:dyDescent="0.25">
      <c r="C14" s="6" t="s">
        <v>78</v>
      </c>
    </row>
    <row r="15" spans="3:4" x14ac:dyDescent="0.25">
      <c r="C15" s="4" t="s">
        <v>23</v>
      </c>
      <c r="D15" s="14" t="s">
        <v>72</v>
      </c>
    </row>
    <row r="16" spans="3:4" x14ac:dyDescent="0.25">
      <c r="C16" s="4" t="s">
        <v>24</v>
      </c>
      <c r="D16" s="19">
        <v>500000</v>
      </c>
    </row>
    <row r="17" spans="1:4" x14ac:dyDescent="0.25">
      <c r="C17" s="4" t="s">
        <v>25</v>
      </c>
      <c r="D17" s="14" t="s">
        <v>82</v>
      </c>
    </row>
    <row r="18" spans="1:4" x14ac:dyDescent="0.25"/>
    <row r="19" spans="1:4" x14ac:dyDescent="0.25">
      <c r="C19" s="6" t="s">
        <v>79</v>
      </c>
    </row>
    <row r="20" spans="1:4" x14ac:dyDescent="0.25">
      <c r="A20" s="2"/>
      <c r="C20" s="4" t="s">
        <v>23</v>
      </c>
      <c r="D20" s="14" t="s">
        <v>33</v>
      </c>
    </row>
    <row r="21" spans="1:4" x14ac:dyDescent="0.25">
      <c r="A21" s="23" t="s">
        <v>96</v>
      </c>
      <c r="C21" s="4" t="s">
        <v>24</v>
      </c>
      <c r="D21" s="19">
        <v>500000</v>
      </c>
    </row>
    <row r="22" spans="1:4" x14ac:dyDescent="0.25">
      <c r="C22" s="4" t="s">
        <v>25</v>
      </c>
      <c r="D22" s="14" t="s">
        <v>83</v>
      </c>
    </row>
    <row r="23" spans="1:4" x14ac:dyDescent="0.25"/>
    <row r="24" spans="1:4" x14ac:dyDescent="0.25"/>
    <row r="25" spans="1:4" x14ac:dyDescent="0.25"/>
    <row r="26" spans="1:4" x14ac:dyDescent="0.25"/>
    <row r="27" spans="1:4" x14ac:dyDescent="0.25"/>
    <row r="28" spans="1:4" x14ac:dyDescent="0.25"/>
    <row r="29" spans="1:4" x14ac:dyDescent="0.25"/>
    <row r="30" spans="1:4" x14ac:dyDescent="0.25"/>
    <row r="31" spans="1:4" x14ac:dyDescent="0.25"/>
    <row r="32" spans="1:4" x14ac:dyDescent="0.25"/>
    <row r="33" x14ac:dyDescent="0.25"/>
    <row r="34" x14ac:dyDescent="0.25"/>
  </sheetData>
  <sheetProtection sheet="1" objects="1" scenarios="1" selectLockedCells="1"/>
  <mergeCells count="2">
    <mergeCell ref="C7:D7"/>
    <mergeCell ref="C3:D3"/>
  </mergeCells>
  <pageMargins left="0.511811024" right="0.511811024" top="0.78740157499999996" bottom="0.78740157499999996" header="0.31496062000000002" footer="0.31496062000000002"/>
  <pageSetup paperSize="9" scale="65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11EB80A5-4E59-477D-AE5A-75546D055C3C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3AE1B-16F6-4573-A833-071A5E4F2894}">
  <sheetPr codeName="Planilha3">
    <pageSetUpPr fitToPage="1"/>
  </sheetPr>
  <dimension ref="A1:F41"/>
  <sheetViews>
    <sheetView showGridLines="0" showRowColHeaders="0" tabSelected="1" workbookViewId="0">
      <selection activeCell="D17" sqref="D17"/>
    </sheetView>
  </sheetViews>
  <sheetFormatPr defaultColWidth="0" defaultRowHeight="15" zeroHeight="1" x14ac:dyDescent="0.25"/>
  <cols>
    <col min="1" max="1" width="29.28515625" style="1" customWidth="1"/>
    <col min="2" max="2" width="9.140625" customWidth="1"/>
    <col min="3" max="5" width="30.7109375" style="3" customWidth="1"/>
    <col min="6" max="6" width="9.140625" customWidth="1"/>
    <col min="7" max="16384" width="9.140625" hidden="1"/>
  </cols>
  <sheetData>
    <row r="1" spans="3:5" ht="15.75" thickBot="1" x14ac:dyDescent="0.3"/>
    <row r="2" spans="3:5" ht="25.5" thickTop="1" thickBot="1" x14ac:dyDescent="0.45">
      <c r="C2" s="31" t="s">
        <v>21</v>
      </c>
      <c r="D2" s="31"/>
      <c r="E2" s="31"/>
    </row>
    <row r="3" spans="3:5" ht="18" customHeight="1" thickTop="1" x14ac:dyDescent="0.25">
      <c r="C3" s="25" t="s">
        <v>22</v>
      </c>
      <c r="D3" s="25"/>
      <c r="E3" s="25"/>
    </row>
    <row r="4" spans="3:5" x14ac:dyDescent="0.25"/>
    <row r="5" spans="3:5" ht="15.75" x14ac:dyDescent="0.25">
      <c r="C5" s="30" t="s">
        <v>84</v>
      </c>
      <c r="D5" s="30"/>
      <c r="E5" s="30"/>
    </row>
    <row r="6" spans="3:5" x14ac:dyDescent="0.25">
      <c r="C6" s="20" t="s">
        <v>85</v>
      </c>
      <c r="D6" s="20" t="s">
        <v>87</v>
      </c>
      <c r="E6" s="20" t="s">
        <v>86</v>
      </c>
    </row>
    <row r="7" spans="3:5" x14ac:dyDescent="0.25">
      <c r="C7" s="21">
        <v>45347</v>
      </c>
      <c r="D7" s="20" t="s">
        <v>89</v>
      </c>
      <c r="E7" s="22">
        <v>4372</v>
      </c>
    </row>
    <row r="8" spans="3:5" x14ac:dyDescent="0.25">
      <c r="C8" s="21">
        <v>45373</v>
      </c>
      <c r="D8" s="20" t="s">
        <v>90</v>
      </c>
      <c r="E8" s="22">
        <v>9665</v>
      </c>
    </row>
    <row r="9" spans="3:5" x14ac:dyDescent="0.25">
      <c r="C9" s="21">
        <v>45359</v>
      </c>
      <c r="D9" s="20" t="s">
        <v>88</v>
      </c>
      <c r="E9" s="22">
        <v>13186</v>
      </c>
    </row>
    <row r="10" spans="3:5" x14ac:dyDescent="0.25">
      <c r="C10" s="21">
        <v>45469</v>
      </c>
      <c r="D10" s="20" t="s">
        <v>90</v>
      </c>
      <c r="E10" s="22">
        <v>3686</v>
      </c>
    </row>
    <row r="11" spans="3:5" x14ac:dyDescent="0.25">
      <c r="C11" s="21">
        <v>45556</v>
      </c>
      <c r="D11" s="20" t="s">
        <v>90</v>
      </c>
      <c r="E11" s="22">
        <v>5981</v>
      </c>
    </row>
    <row r="12" spans="3:5" x14ac:dyDescent="0.25">
      <c r="C12" s="21">
        <v>45517</v>
      </c>
      <c r="D12" s="20" t="s">
        <v>89</v>
      </c>
      <c r="E12" s="22">
        <v>8691</v>
      </c>
    </row>
    <row r="13" spans="3:5" x14ac:dyDescent="0.25">
      <c r="C13" s="21">
        <v>45394</v>
      </c>
      <c r="D13" s="20" t="s">
        <v>88</v>
      </c>
      <c r="E13" s="22">
        <v>7854</v>
      </c>
    </row>
    <row r="14" spans="3:5" x14ac:dyDescent="0.25">
      <c r="C14" s="21">
        <v>45596</v>
      </c>
      <c r="D14" s="20" t="s">
        <v>89</v>
      </c>
      <c r="E14" s="22">
        <v>6867</v>
      </c>
    </row>
    <row r="15" spans="3:5" x14ac:dyDescent="0.25">
      <c r="C15" s="21">
        <v>45562</v>
      </c>
      <c r="D15" s="20" t="s">
        <v>88</v>
      </c>
      <c r="E15" s="22">
        <v>9799</v>
      </c>
    </row>
    <row r="16" spans="3:5" x14ac:dyDescent="0.25">
      <c r="C16" s="21">
        <v>45520</v>
      </c>
      <c r="D16" s="20" t="s">
        <v>89</v>
      </c>
      <c r="E16" s="22">
        <v>11873</v>
      </c>
    </row>
    <row r="17" spans="1:5" x14ac:dyDescent="0.25">
      <c r="C17" s="21">
        <v>45527</v>
      </c>
      <c r="D17" s="20" t="s">
        <v>88</v>
      </c>
      <c r="E17" s="22">
        <v>13978</v>
      </c>
    </row>
    <row r="18" spans="1:5" ht="15.75" thickBot="1" x14ac:dyDescent="0.3">
      <c r="C18" s="21">
        <v>45416</v>
      </c>
      <c r="D18" s="20" t="s">
        <v>90</v>
      </c>
      <c r="E18" s="22">
        <v>6658</v>
      </c>
    </row>
    <row r="19" spans="1:5" ht="15.75" thickBot="1" x14ac:dyDescent="0.3">
      <c r="C19" s="29" t="s">
        <v>80</v>
      </c>
      <c r="D19" s="29"/>
      <c r="E19" s="8">
        <f>SUM(E7:E18)</f>
        <v>102610</v>
      </c>
    </row>
    <row r="20" spans="1:5" x14ac:dyDescent="0.25"/>
    <row r="21" spans="1:5" ht="16.5" x14ac:dyDescent="0.3">
      <c r="A21" s="24" t="s">
        <v>97</v>
      </c>
      <c r="C21" s="30" t="s">
        <v>91</v>
      </c>
      <c r="D21" s="30"/>
      <c r="E21" s="30"/>
    </row>
    <row r="22" spans="1:5" x14ac:dyDescent="0.25">
      <c r="C22" s="7" t="s">
        <v>85</v>
      </c>
      <c r="D22" s="7" t="s">
        <v>87</v>
      </c>
      <c r="E22" s="7" t="s">
        <v>86</v>
      </c>
    </row>
    <row r="23" spans="1:5" x14ac:dyDescent="0.25">
      <c r="C23" s="21">
        <v>45473</v>
      </c>
      <c r="D23" s="20" t="s">
        <v>92</v>
      </c>
      <c r="E23" s="22">
        <v>1156</v>
      </c>
    </row>
    <row r="24" spans="1:5" x14ac:dyDescent="0.25">
      <c r="C24" s="21">
        <v>45478</v>
      </c>
      <c r="D24" s="20" t="s">
        <v>93</v>
      </c>
      <c r="E24" s="22">
        <v>3034</v>
      </c>
    </row>
    <row r="25" spans="1:5" x14ac:dyDescent="0.25">
      <c r="C25" s="21">
        <v>45546</v>
      </c>
      <c r="D25" s="20" t="s">
        <v>94</v>
      </c>
      <c r="E25" s="22">
        <v>2256</v>
      </c>
    </row>
    <row r="26" spans="1:5" x14ac:dyDescent="0.25">
      <c r="C26" s="21">
        <v>45449</v>
      </c>
      <c r="D26" s="20" t="s">
        <v>95</v>
      </c>
      <c r="E26" s="22">
        <v>8515</v>
      </c>
    </row>
    <row r="27" spans="1:5" x14ac:dyDescent="0.25">
      <c r="C27" s="21">
        <v>45529</v>
      </c>
      <c r="D27" s="20" t="s">
        <v>92</v>
      </c>
      <c r="E27" s="22">
        <v>6867</v>
      </c>
    </row>
    <row r="28" spans="1:5" x14ac:dyDescent="0.25">
      <c r="C28" s="21">
        <v>45533</v>
      </c>
      <c r="D28" s="20" t="s">
        <v>92</v>
      </c>
      <c r="E28" s="22">
        <v>1414</v>
      </c>
    </row>
    <row r="29" spans="1:5" x14ac:dyDescent="0.25">
      <c r="C29" s="21">
        <v>45420</v>
      </c>
      <c r="D29" s="20" t="s">
        <v>93</v>
      </c>
      <c r="E29" s="22">
        <v>1698</v>
      </c>
    </row>
    <row r="30" spans="1:5" x14ac:dyDescent="0.25">
      <c r="C30" s="21">
        <v>45606</v>
      </c>
      <c r="D30" s="20" t="s">
        <v>93</v>
      </c>
      <c r="E30" s="22">
        <v>2243</v>
      </c>
    </row>
    <row r="31" spans="1:5" x14ac:dyDescent="0.25">
      <c r="C31" s="21">
        <v>45478</v>
      </c>
      <c r="D31" s="20" t="s">
        <v>94</v>
      </c>
      <c r="E31" s="22">
        <v>8636</v>
      </c>
    </row>
    <row r="32" spans="1:5" x14ac:dyDescent="0.25">
      <c r="C32" s="21">
        <v>45561</v>
      </c>
      <c r="D32" s="20" t="s">
        <v>95</v>
      </c>
      <c r="E32" s="22">
        <v>6857</v>
      </c>
    </row>
    <row r="33" spans="3:5" x14ac:dyDescent="0.25">
      <c r="C33" s="21">
        <v>45324</v>
      </c>
      <c r="D33" s="20" t="s">
        <v>94</v>
      </c>
      <c r="E33" s="22">
        <v>1803</v>
      </c>
    </row>
    <row r="34" spans="3:5" ht="15.75" thickBot="1" x14ac:dyDescent="0.3">
      <c r="C34" s="21">
        <v>45348</v>
      </c>
      <c r="D34" s="20" t="s">
        <v>92</v>
      </c>
      <c r="E34" s="22">
        <v>6092</v>
      </c>
    </row>
    <row r="35" spans="3:5" ht="15.75" thickBot="1" x14ac:dyDescent="0.3">
      <c r="C35" s="29" t="s">
        <v>80</v>
      </c>
      <c r="D35" s="29"/>
      <c r="E35" s="8">
        <f>SUM(E23:E34)</f>
        <v>50571</v>
      </c>
    </row>
    <row r="36" spans="3:5" x14ac:dyDescent="0.25"/>
    <row r="37" spans="3:5" x14ac:dyDescent="0.25"/>
    <row r="38" spans="3:5" x14ac:dyDescent="0.25"/>
    <row r="39" spans="3:5" x14ac:dyDescent="0.25">
      <c r="E39" s="9"/>
    </row>
    <row r="40" spans="3:5" x14ac:dyDescent="0.25">
      <c r="E40" s="9"/>
    </row>
    <row r="41" spans="3:5" hidden="1" x14ac:dyDescent="0.25">
      <c r="C41" s="9"/>
    </row>
  </sheetData>
  <sheetProtection sheet="1" objects="1" scenarios="1" selectLockedCells="1"/>
  <mergeCells count="6">
    <mergeCell ref="C19:D19"/>
    <mergeCell ref="C21:E21"/>
    <mergeCell ref="C35:D35"/>
    <mergeCell ref="C2:E2"/>
    <mergeCell ref="C3:E3"/>
    <mergeCell ref="C5:E5"/>
  </mergeCells>
  <dataValidations count="2">
    <dataValidation type="list" allowBlank="1" showInputMessage="1" showErrorMessage="1" sqref="D7:D18" xr:uid="{8A129DFF-FC5E-4F2B-82EC-2B6ED79900AA}">
      <formula1>"CNPJ,FREELANCE,HOLERITE"</formula1>
    </dataValidation>
    <dataValidation type="list" allowBlank="1" showInputMessage="1" showErrorMessage="1" sqref="D23:D34" xr:uid="{64909DA6-9F4C-41F0-A90E-A85870D5A03B}">
      <formula1>"SAÚDE,EDUCAÇÃO,DEPENDENTES,DOAÇÃO"</formula1>
    </dataValidation>
  </dataValidations>
  <pageMargins left="0.78740157480314965" right="0.78740157480314965" top="0.78740157480314965" bottom="0.78740157480314965" header="0.39370078740157483" footer="0.39370078740157483"/>
  <pageSetup paperSize="9" scale="61" fitToHeight="0" orientation="portrait" r:id="rId1"/>
  <drawing r:id="rId2"/>
  <tableParts count="2"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67A4C-ACE6-4937-8C39-6E5766462E18}">
  <dimension ref="A1:B51"/>
  <sheetViews>
    <sheetView workbookViewId="0">
      <selection activeCell="C1" sqref="C1"/>
    </sheetView>
  </sheetViews>
  <sheetFormatPr defaultRowHeight="15" x14ac:dyDescent="0.25"/>
  <sheetData>
    <row r="1" spans="1:2" x14ac:dyDescent="0.25">
      <c r="A1" s="32" t="s">
        <v>76</v>
      </c>
      <c r="B1" s="32"/>
    </row>
    <row r="2" spans="1:2" x14ac:dyDescent="0.25">
      <c r="A2" t="s">
        <v>26</v>
      </c>
    </row>
    <row r="3" spans="1:2" x14ac:dyDescent="0.25">
      <c r="A3" t="s">
        <v>27</v>
      </c>
    </row>
    <row r="4" spans="1:2" x14ac:dyDescent="0.25">
      <c r="A4" t="s">
        <v>28</v>
      </c>
    </row>
    <row r="5" spans="1:2" x14ac:dyDescent="0.25">
      <c r="A5" t="s">
        <v>29</v>
      </c>
    </row>
    <row r="6" spans="1:2" x14ac:dyDescent="0.25">
      <c r="A6" t="s">
        <v>30</v>
      </c>
    </row>
    <row r="7" spans="1:2" x14ac:dyDescent="0.25">
      <c r="A7" t="s">
        <v>31</v>
      </c>
    </row>
    <row r="8" spans="1:2" x14ac:dyDescent="0.25">
      <c r="A8" t="s">
        <v>32</v>
      </c>
    </row>
    <row r="9" spans="1:2" x14ac:dyDescent="0.25">
      <c r="A9" t="s">
        <v>33</v>
      </c>
    </row>
    <row r="10" spans="1:2" x14ac:dyDescent="0.25">
      <c r="A10" t="s">
        <v>34</v>
      </c>
    </row>
    <row r="11" spans="1:2" x14ac:dyDescent="0.25">
      <c r="A11" t="s">
        <v>35</v>
      </c>
    </row>
    <row r="12" spans="1:2" x14ac:dyDescent="0.25">
      <c r="A12" t="s">
        <v>36</v>
      </c>
    </row>
    <row r="13" spans="1:2" x14ac:dyDescent="0.25">
      <c r="A13" t="s">
        <v>37</v>
      </c>
    </row>
    <row r="14" spans="1:2" x14ac:dyDescent="0.25">
      <c r="A14" t="s">
        <v>38</v>
      </c>
    </row>
    <row r="15" spans="1:2" x14ac:dyDescent="0.25">
      <c r="A15" t="s">
        <v>39</v>
      </c>
    </row>
    <row r="16" spans="1:2" x14ac:dyDescent="0.25">
      <c r="A16" t="s">
        <v>40</v>
      </c>
    </row>
    <row r="17" spans="1:1" x14ac:dyDescent="0.25">
      <c r="A17" t="s">
        <v>41</v>
      </c>
    </row>
    <row r="18" spans="1:1" x14ac:dyDescent="0.25">
      <c r="A18" t="s">
        <v>42</v>
      </c>
    </row>
    <row r="19" spans="1:1" x14ac:dyDescent="0.25">
      <c r="A19" t="s">
        <v>43</v>
      </c>
    </row>
    <row r="20" spans="1:1" x14ac:dyDescent="0.25">
      <c r="A20" t="s">
        <v>44</v>
      </c>
    </row>
    <row r="21" spans="1:1" x14ac:dyDescent="0.25">
      <c r="A21" t="s">
        <v>45</v>
      </c>
    </row>
    <row r="22" spans="1:1" x14ac:dyDescent="0.25">
      <c r="A22" t="s">
        <v>46</v>
      </c>
    </row>
    <row r="23" spans="1:1" x14ac:dyDescent="0.25">
      <c r="A23" t="s">
        <v>47</v>
      </c>
    </row>
    <row r="24" spans="1:1" x14ac:dyDescent="0.25">
      <c r="A24" t="s">
        <v>48</v>
      </c>
    </row>
    <row r="25" spans="1:1" x14ac:dyDescent="0.25">
      <c r="A25" t="s">
        <v>49</v>
      </c>
    </row>
    <row r="26" spans="1:1" x14ac:dyDescent="0.25">
      <c r="A26" t="s">
        <v>50</v>
      </c>
    </row>
    <row r="27" spans="1:1" x14ac:dyDescent="0.25">
      <c r="A27" t="s">
        <v>51</v>
      </c>
    </row>
    <row r="28" spans="1:1" x14ac:dyDescent="0.25">
      <c r="A28" t="s">
        <v>52</v>
      </c>
    </row>
    <row r="29" spans="1:1" x14ac:dyDescent="0.25">
      <c r="A29" t="s">
        <v>53</v>
      </c>
    </row>
    <row r="30" spans="1:1" x14ac:dyDescent="0.25">
      <c r="A30" t="s">
        <v>54</v>
      </c>
    </row>
    <row r="31" spans="1:1" x14ac:dyDescent="0.25">
      <c r="A31" t="s">
        <v>55</v>
      </c>
    </row>
    <row r="32" spans="1:1" x14ac:dyDescent="0.25">
      <c r="A32" t="s">
        <v>56</v>
      </c>
    </row>
    <row r="33" spans="1:1" x14ac:dyDescent="0.25">
      <c r="A33" t="s">
        <v>57</v>
      </c>
    </row>
    <row r="34" spans="1:1" x14ac:dyDescent="0.25">
      <c r="A34" t="s">
        <v>58</v>
      </c>
    </row>
    <row r="35" spans="1:1" x14ac:dyDescent="0.25">
      <c r="A35" t="s">
        <v>59</v>
      </c>
    </row>
    <row r="36" spans="1:1" x14ac:dyDescent="0.25">
      <c r="A36" t="s">
        <v>60</v>
      </c>
    </row>
    <row r="37" spans="1:1" x14ac:dyDescent="0.25">
      <c r="A37" t="s">
        <v>61</v>
      </c>
    </row>
    <row r="38" spans="1:1" x14ac:dyDescent="0.25">
      <c r="A38" t="s">
        <v>62</v>
      </c>
    </row>
    <row r="39" spans="1:1" x14ac:dyDescent="0.25">
      <c r="A39" t="s">
        <v>63</v>
      </c>
    </row>
    <row r="40" spans="1:1" x14ac:dyDescent="0.25">
      <c r="A40" t="s">
        <v>64</v>
      </c>
    </row>
    <row r="41" spans="1:1" x14ac:dyDescent="0.25">
      <c r="A41" t="s">
        <v>65</v>
      </c>
    </row>
    <row r="42" spans="1:1" x14ac:dyDescent="0.25">
      <c r="A42" t="s">
        <v>66</v>
      </c>
    </row>
    <row r="43" spans="1:1" x14ac:dyDescent="0.25">
      <c r="A43" t="s">
        <v>67</v>
      </c>
    </row>
    <row r="44" spans="1:1" x14ac:dyDescent="0.25">
      <c r="A44" t="s">
        <v>68</v>
      </c>
    </row>
    <row r="45" spans="1:1" x14ac:dyDescent="0.25">
      <c r="A45" t="s">
        <v>69</v>
      </c>
    </row>
    <row r="46" spans="1:1" x14ac:dyDescent="0.25">
      <c r="A46" t="s">
        <v>70</v>
      </c>
    </row>
    <row r="47" spans="1:1" x14ac:dyDescent="0.25">
      <c r="A47" t="s">
        <v>71</v>
      </c>
    </row>
    <row r="48" spans="1:1" x14ac:dyDescent="0.25">
      <c r="A48" t="s">
        <v>72</v>
      </c>
    </row>
    <row r="49" spans="1:1" x14ac:dyDescent="0.25">
      <c r="A49" t="s">
        <v>73</v>
      </c>
    </row>
    <row r="50" spans="1:1" x14ac:dyDescent="0.25">
      <c r="A50" t="s">
        <v>74</v>
      </c>
    </row>
    <row r="51" spans="1:1" x14ac:dyDescent="0.25">
      <c r="A51" t="s">
        <v>75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8ADF50-6F70-4D6D-B5DC-550E3FD622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Ribeiro</dc:creator>
  <cp:lastModifiedBy>Gabriela Ribeiro</cp:lastModifiedBy>
  <cp:lastPrinted>2026-01-13T22:39:11Z</cp:lastPrinted>
  <dcterms:created xsi:type="dcterms:W3CDTF">2026-01-13T11:42:20Z</dcterms:created>
  <dcterms:modified xsi:type="dcterms:W3CDTF">2026-01-13T22:40:42Z</dcterms:modified>
</cp:coreProperties>
</file>